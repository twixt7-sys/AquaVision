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P&amp;L Summary" sheetId="2" state="visible" r:id="rId2"/>
    <sheet xmlns:r="http://schemas.openxmlformats.org/officeDocument/2006/relationships" name="Chart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B4965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0" fontId="4" fillId="0" borderId="0" pivotButton="0" quotePrefix="0" xfId="0"/>
    <xf numFmtId="3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Expenses vs Profit (PHP)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'ChartData'!$A$2:$A$4</f>
            </numRef>
          </cat>
          <val>
            <numRef>
              <f>'ChartData'!$B$2:$B$4</f>
            </numRef>
          </val>
        </ser>
        <ser>
          <idx val="1"/>
          <order val="1"/>
          <tx>
            <strRef>
              <f>'ChartData'!C1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'ChartData'!$A$2:$A$4</f>
            </numRef>
          </cat>
          <val>
            <numRef>
              <f>'ChartData'!$C$2:$C$4</f>
            </numRef>
          </val>
        </ser>
        <ser>
          <idx val="2"/>
          <order val="2"/>
          <tx>
            <strRef>
              <f>'ChartData'!D1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'ChartData'!$A$2:$A$4</f>
            </numRef>
          </cat>
          <val>
            <numRef>
              <f>'ChartData'!$D$2:$D$4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PHP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AquaVision 3-Year Freemium Projection — Assumptions</t>
        </is>
      </c>
    </row>
    <row r="2">
      <c r="A2" t="inlineStr">
        <is>
          <t>Premium P299/mo · Enterprise P1499/mo · PH SAM 70,000 · Target Year 2 Breakeven</t>
        </is>
      </c>
    </row>
    <row r="4">
      <c r="A4" s="2" t="inlineStr">
        <is>
          <t>PRICING</t>
        </is>
      </c>
    </row>
    <row r="5">
      <c r="A5" t="inlineStr">
        <is>
          <t>Free tier</t>
        </is>
      </c>
      <c r="B5" t="n">
        <v>0</v>
      </c>
    </row>
    <row r="6">
      <c r="A6" t="inlineStr">
        <is>
          <t>Premium (farm account / month)</t>
        </is>
      </c>
      <c r="B6" t="n">
        <v>299</v>
      </c>
    </row>
    <row r="7">
      <c r="A7" t="inlineStr">
        <is>
          <t>Enterprise (site / month)</t>
        </is>
      </c>
      <c r="B7" t="n">
        <v>1499</v>
      </c>
    </row>
    <row r="9">
      <c r="A9" s="2" t="inlineStr">
        <is>
          <t>MARKET ANCHORS</t>
        </is>
      </c>
    </row>
    <row r="10">
      <c r="A10" t="inlineStr">
        <is>
          <t>Global aqua digital TAM (USD B, midpoint)</t>
        </is>
      </c>
      <c r="B10" t="n">
        <v>1.5</v>
      </c>
    </row>
    <row r="11">
      <c r="A11" t="inlineStr">
        <is>
          <t>Precision aqua market 2025 (USD M, MnM)</t>
        </is>
      </c>
      <c r="B11" t="n">
        <v>850</v>
      </c>
    </row>
    <row r="12">
      <c r="A12" t="inlineStr">
        <is>
          <t>PH aquaculture value (PHP B, BFAR 2023)</t>
        </is>
      </c>
      <c r="B12" t="n">
        <v>124.02</v>
      </c>
    </row>
    <row r="13">
      <c r="A13" t="inlineStr">
        <is>
          <t>PH registered aquafarmers (BFAR FishR)</t>
        </is>
      </c>
      <c r="B13" t="n">
        <v>260961</v>
      </c>
    </row>
    <row r="14">
      <c r="A14" t="inlineStr">
        <is>
          <t>PH SAM — mobile finfish/shrimp (modeled)</t>
        </is>
      </c>
      <c r="B14" t="n">
        <v>70000</v>
      </c>
    </row>
    <row r="16">
      <c r="A16" s="2" t="inlineStr">
        <is>
          <t>FUNNEL DRIVERS</t>
        </is>
      </c>
    </row>
    <row r="17">
      <c r="A17" s="3" t="inlineStr">
        <is>
          <t>Driver</t>
        </is>
      </c>
      <c r="B17" s="3" t="inlineStr">
        <is>
          <t>Year 1</t>
        </is>
      </c>
      <c r="C17" s="3" t="inlineStr">
        <is>
          <t>Year 2</t>
        </is>
      </c>
      <c r="D17" s="3" t="inlineStr">
        <is>
          <t>Year 3</t>
        </is>
      </c>
    </row>
    <row r="18">
      <c r="A18" t="inlineStr">
        <is>
          <t>Free users EOY</t>
        </is>
      </c>
      <c r="B18" t="n">
        <v>4000</v>
      </c>
      <c r="C18" t="n">
        <v>18000</v>
      </c>
      <c r="D18" t="n">
        <v>32000</v>
      </c>
    </row>
    <row r="19">
      <c r="A19" t="inlineStr">
        <is>
          <t>Premium avg (revenue)</t>
        </is>
      </c>
      <c r="B19" t="n">
        <v>55</v>
      </c>
      <c r="C19" t="n">
        <v>900</v>
      </c>
      <c r="D19" t="n">
        <v>2500</v>
      </c>
    </row>
    <row r="20">
      <c r="A20" t="inlineStr">
        <is>
          <t>Premium EOY</t>
        </is>
      </c>
      <c r="B20" t="n">
        <v>150</v>
      </c>
      <c r="C20" t="n">
        <v>1400</v>
      </c>
      <c r="D20" t="n">
        <v>3200</v>
      </c>
    </row>
    <row r="21">
      <c r="A21" t="inlineStr">
        <is>
          <t>Enterprise avg (revenue)</t>
        </is>
      </c>
      <c r="B21" t="n">
        <v>6</v>
      </c>
      <c r="C21" t="n">
        <v>110</v>
      </c>
      <c r="D21" t="n">
        <v>280</v>
      </c>
    </row>
    <row r="22">
      <c r="A22" t="inlineStr">
        <is>
          <t>Enterprise EOY</t>
        </is>
      </c>
      <c r="B22" t="n">
        <v>15</v>
      </c>
      <c r="C22" t="n">
        <v>180</v>
      </c>
      <c r="D22" t="n">
        <v>350</v>
      </c>
    </row>
    <row r="23">
      <c r="A23" t="inlineStr">
        <is>
          <t>Marketplace revenue</t>
        </is>
      </c>
      <c r="B23" t="n">
        <v>25000</v>
      </c>
      <c r="C23" t="n">
        <v>450000</v>
      </c>
      <c r="D23" t="n">
        <v>1350000</v>
      </c>
    </row>
    <row r="24">
      <c r="A24" t="inlineStr">
        <is>
          <t>Consultation revenue</t>
        </is>
      </c>
      <c r="B24" t="n">
        <v>10000</v>
      </c>
      <c r="C24" t="n">
        <v>120000</v>
      </c>
      <c r="D24" t="n">
        <v>420000</v>
      </c>
    </row>
    <row r="26">
      <c r="A26" s="2" t="inlineStr">
        <is>
          <t>COST ASSUMPTIONS (PHP)</t>
        </is>
      </c>
    </row>
    <row r="27">
      <c r="A27" s="3" t="inlineStr">
        <is>
          <t>Cost line</t>
        </is>
      </c>
      <c r="B27" s="3" t="inlineStr">
        <is>
          <t>Year 1</t>
        </is>
      </c>
      <c r="C27" s="3" t="inlineStr">
        <is>
          <t>Year 2</t>
        </is>
      </c>
      <c r="D27" s="3" t="inlineStr">
        <is>
          <t>Year 3</t>
        </is>
      </c>
    </row>
    <row r="28">
      <c r="A28" t="inlineStr">
        <is>
          <t>Setup</t>
        </is>
      </c>
      <c r="B28" s="4" t="n">
        <v>450000</v>
      </c>
      <c r="C28" s="4" t="n">
        <v>120000</v>
      </c>
      <c r="D28" s="4" t="n">
        <v>80000</v>
      </c>
    </row>
    <row r="29">
      <c r="A29" t="inlineStr">
        <is>
          <t>Salaries</t>
        </is>
      </c>
      <c r="B29" s="4" t="n">
        <v>1440000</v>
      </c>
      <c r="C29" s="4" t="n">
        <v>2640000</v>
      </c>
      <c r="D29" s="4" t="n">
        <v>4200000</v>
      </c>
    </row>
    <row r="30">
      <c r="A30" t="inlineStr">
        <is>
          <t>Rent Ops</t>
        </is>
      </c>
      <c r="B30" s="4" t="n">
        <v>180000</v>
      </c>
      <c r="C30" s="4" t="n">
        <v>280000</v>
      </c>
      <c r="D30" s="4" t="n">
        <v>420000</v>
      </c>
    </row>
    <row r="31">
      <c r="A31" t="inlineStr">
        <is>
          <t>Cloud Ai</t>
        </is>
      </c>
      <c r="B31" s="4" t="n">
        <v>240000</v>
      </c>
      <c r="C31" s="4" t="n">
        <v>720000</v>
      </c>
      <c r="D31" s="4" t="n">
        <v>1320000</v>
      </c>
    </row>
    <row r="32">
      <c r="A32" t="inlineStr">
        <is>
          <t>Marketing</t>
        </is>
      </c>
      <c r="B32" s="4" t="n">
        <v>280000</v>
      </c>
      <c r="C32" s="4" t="n">
        <v>780000</v>
      </c>
      <c r="D32" s="4" t="n">
        <v>1200000</v>
      </c>
    </row>
    <row r="33">
      <c r="A33" t="inlineStr">
        <is>
          <t>Software Tools</t>
        </is>
      </c>
      <c r="B33" s="4" t="n">
        <v>72000</v>
      </c>
      <c r="C33" s="4" t="n">
        <v>96000</v>
      </c>
      <c r="D33" s="4" t="n">
        <v>144000</v>
      </c>
    </row>
    <row r="34">
      <c r="A34" t="inlineStr">
        <is>
          <t>Legal Admin</t>
        </is>
      </c>
      <c r="B34" s="4" t="n">
        <v>120000</v>
      </c>
      <c r="C34" s="4" t="n">
        <v>160000</v>
      </c>
      <c r="D34" s="4" t="n">
        <v>220000</v>
      </c>
    </row>
    <row r="35">
      <c r="A35" t="inlineStr">
        <is>
          <t>Variable Cogs</t>
        </is>
      </c>
      <c r="B35" s="4" t="n">
        <v>60000</v>
      </c>
      <c r="C35" s="4" t="n">
        <v>380000</v>
      </c>
      <c r="D35" s="4" t="n">
        <v>780000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5" t="inlineStr">
        <is>
          <t>3-Year Profit &amp; Loss (PHP)</t>
        </is>
      </c>
    </row>
    <row r="3">
      <c r="A3" s="3" t="inlineStr">
        <is>
          <t>Line Item</t>
        </is>
      </c>
      <c r="B3" s="3" t="inlineStr">
        <is>
          <t>Year 1</t>
        </is>
      </c>
      <c r="C3" s="3" t="inlineStr">
        <is>
          <t>Year 2</t>
        </is>
      </c>
      <c r="D3" s="3" t="inlineStr">
        <is>
          <t>Year 3</t>
        </is>
      </c>
    </row>
    <row r="4">
      <c r="A4" t="inlineStr">
        <is>
          <t>Premium subscription revenue</t>
        </is>
      </c>
      <c r="B4" s="4" t="n">
        <v>197340</v>
      </c>
      <c r="C4" s="4" t="n">
        <v>3229200</v>
      </c>
      <c r="D4" s="4" t="n">
        <v>8970000</v>
      </c>
    </row>
    <row r="5">
      <c r="A5" t="inlineStr">
        <is>
          <t>Enterprise subscription revenue</t>
        </is>
      </c>
      <c r="B5" s="4" t="n">
        <v>107928</v>
      </c>
      <c r="C5" s="4" t="n">
        <v>1978680</v>
      </c>
      <c r="D5" s="4" t="n">
        <v>5036640</v>
      </c>
    </row>
    <row r="6">
      <c r="A6" t="inlineStr">
        <is>
          <t>Marketplace commission</t>
        </is>
      </c>
      <c r="B6" s="4" t="n">
        <v>25000</v>
      </c>
      <c r="C6" s="4" t="n">
        <v>450000</v>
      </c>
      <c r="D6" s="4" t="n">
        <v>1350000</v>
      </c>
    </row>
    <row r="7">
      <c r="A7" t="inlineStr">
        <is>
          <t>Consultation fees</t>
        </is>
      </c>
      <c r="B7" s="4" t="n">
        <v>10000</v>
      </c>
      <c r="C7" s="4" t="n">
        <v>120000</v>
      </c>
      <c r="D7" s="4" t="n">
        <v>420000</v>
      </c>
    </row>
    <row r="8">
      <c r="A8" t="inlineStr">
        <is>
          <t>Total Revenue</t>
        </is>
      </c>
      <c r="B8" s="6" t="n">
        <v>340268</v>
      </c>
      <c r="C8" s="6" t="n">
        <v>5777880</v>
      </c>
      <c r="D8" s="6" t="n">
        <v>15776640</v>
      </c>
    </row>
    <row r="9">
      <c r="A9" t="inlineStr">
        <is>
          <t>Total Expenses</t>
        </is>
      </c>
      <c r="B9" s="6" t="n">
        <v>2842000</v>
      </c>
      <c r="C9" s="6" t="n">
        <v>5176000</v>
      </c>
      <c r="D9" s="6" t="n">
        <v>8364000</v>
      </c>
    </row>
    <row r="10">
      <c r="A10" t="inlineStr">
        <is>
          <t>Net Profit / (Loss)</t>
        </is>
      </c>
      <c r="B10" s="6" t="n">
        <v>-2501732</v>
      </c>
      <c r="C10" s="6" t="n">
        <v>601880</v>
      </c>
      <c r="D10" s="6" t="n">
        <v>7412640</v>
      </c>
    </row>
    <row r="11">
      <c r="A11" t="inlineStr">
        <is>
          <t>Profit Margin %</t>
        </is>
      </c>
      <c r="B11" s="7" t="n">
        <v>-7.352239999059565</v>
      </c>
      <c r="C11" s="7" t="n">
        <v>0.1041696954592342</v>
      </c>
      <c r="D11" s="7" t="n">
        <v>0.4698490933430692</v>
      </c>
    </row>
    <row r="12">
      <c r="A12" t="inlineStr">
        <is>
          <t>Paying accounts EOY</t>
        </is>
      </c>
      <c r="B12" t="n">
        <v>165</v>
      </c>
      <c r="C12" t="n">
        <v>1580</v>
      </c>
      <c r="D12" t="n">
        <v>3550</v>
      </c>
    </row>
    <row r="13">
      <c r="A13" t="inlineStr">
        <is>
          <t>Paying as % of PH SAM</t>
        </is>
      </c>
      <c r="B13" s="8" t="n">
        <v>0.002357142857142857</v>
      </c>
      <c r="C13" s="8" t="n">
        <v>0.02257142857142857</v>
      </c>
      <c r="D13" s="8" t="n">
        <v>0.05071428571428571</v>
      </c>
    </row>
    <row r="16">
      <c r="A16" s="2" t="inlineStr">
        <is>
          <t>EXPENSE DETAIL</t>
        </is>
      </c>
    </row>
    <row r="17">
      <c r="A17" s="3" t="inlineStr">
        <is>
          <t>Cost line</t>
        </is>
      </c>
      <c r="B17" s="3" t="inlineStr">
        <is>
          <t>Year 1</t>
        </is>
      </c>
      <c r="C17" s="3" t="inlineStr">
        <is>
          <t>Year 2</t>
        </is>
      </c>
      <c r="D17" s="3" t="inlineStr">
        <is>
          <t>Year 3</t>
        </is>
      </c>
    </row>
    <row r="18">
      <c r="A18" t="inlineStr">
        <is>
          <t>Setup</t>
        </is>
      </c>
      <c r="B18" s="4" t="n">
        <v>450000</v>
      </c>
      <c r="C18" s="4" t="n">
        <v>120000</v>
      </c>
      <c r="D18" s="4" t="n">
        <v>80000</v>
      </c>
    </row>
    <row r="19">
      <c r="A19" t="inlineStr">
        <is>
          <t>Salaries</t>
        </is>
      </c>
      <c r="B19" s="4" t="n">
        <v>1440000</v>
      </c>
      <c r="C19" s="4" t="n">
        <v>2640000</v>
      </c>
      <c r="D19" s="4" t="n">
        <v>4200000</v>
      </c>
    </row>
    <row r="20">
      <c r="A20" t="inlineStr">
        <is>
          <t>Rent Ops</t>
        </is>
      </c>
      <c r="B20" s="4" t="n">
        <v>180000</v>
      </c>
      <c r="C20" s="4" t="n">
        <v>280000</v>
      </c>
      <c r="D20" s="4" t="n">
        <v>420000</v>
      </c>
    </row>
    <row r="21">
      <c r="A21" t="inlineStr">
        <is>
          <t>Cloud Ai</t>
        </is>
      </c>
      <c r="B21" s="4" t="n">
        <v>240000</v>
      </c>
      <c r="C21" s="4" t="n">
        <v>720000</v>
      </c>
      <c r="D21" s="4" t="n">
        <v>1320000</v>
      </c>
    </row>
    <row r="22">
      <c r="A22" t="inlineStr">
        <is>
          <t>Marketing</t>
        </is>
      </c>
      <c r="B22" s="4" t="n">
        <v>280000</v>
      </c>
      <c r="C22" s="4" t="n">
        <v>780000</v>
      </c>
      <c r="D22" s="4" t="n">
        <v>1200000</v>
      </c>
    </row>
    <row r="23">
      <c r="A23" t="inlineStr">
        <is>
          <t>Software Tools</t>
        </is>
      </c>
      <c r="B23" s="4" t="n">
        <v>72000</v>
      </c>
      <c r="C23" s="4" t="n">
        <v>96000</v>
      </c>
      <c r="D23" s="4" t="n">
        <v>144000</v>
      </c>
    </row>
    <row r="24">
      <c r="A24" t="inlineStr">
        <is>
          <t>Legal Admin</t>
        </is>
      </c>
      <c r="B24" s="4" t="n">
        <v>120000</v>
      </c>
      <c r="C24" s="4" t="n">
        <v>160000</v>
      </c>
      <c r="D24" s="4" t="n">
        <v>220000</v>
      </c>
    </row>
    <row r="25">
      <c r="A25" t="inlineStr">
        <is>
          <t>Variable Cogs</t>
        </is>
      </c>
      <c r="B25" s="4" t="n">
        <v>60000</v>
      </c>
      <c r="C25" s="4" t="n">
        <v>380000</v>
      </c>
      <c r="D25" s="4" t="n">
        <v>780000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Year 1</t>
        </is>
      </c>
      <c r="B2" t="n">
        <v>340268</v>
      </c>
      <c r="C2" t="n">
        <v>2842000</v>
      </c>
      <c r="D2" t="n">
        <v>-2501732</v>
      </c>
    </row>
    <row r="3">
      <c r="A3" t="inlineStr">
        <is>
          <t>Year 2</t>
        </is>
      </c>
      <c r="B3" t="n">
        <v>5777880</v>
      </c>
      <c r="C3" t="n">
        <v>5176000</v>
      </c>
      <c r="D3" t="n">
        <v>601880</v>
      </c>
    </row>
    <row r="4">
      <c r="A4" t="inlineStr">
        <is>
          <t>Year 3</t>
        </is>
      </c>
      <c r="B4" t="n">
        <v>15776640</v>
      </c>
      <c r="C4" t="n">
        <v>8364000</v>
      </c>
      <c r="D4" t="n">
        <v>7412640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2026-07-19T03:33:36Z</dcterms:created>
  <dcterms:modified xmlns:dcterms="http://purl.org/dc/terms/" xmlns:xsi="http://www.w3.org/2001/XMLSchema-instance" xsi:type="dcterms:W3CDTF">2026-07-19T03:33:36Z</dcterms:modified>
</cp:coreProperties>
</file>